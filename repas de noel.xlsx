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c0001\Documents\"/>
    </mc:Choice>
  </mc:AlternateContent>
  <xr:revisionPtr revIDLastSave="0" documentId="13_ncr:1_{A6167685-F104-4BBE-8D81-73CD0D8B9F18}" xr6:coauthVersionLast="47" xr6:coauthVersionMax="47" xr10:uidLastSave="{00000000-0000-0000-0000-000000000000}"/>
  <bookViews>
    <workbookView xWindow="6705" yWindow="3600" windowWidth="21600" windowHeight="11295" xr2:uid="{7D3E99D3-E1C6-4A03-BC0F-7257EE79A9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<sst xmlns="http://schemas.openxmlformats.org/spreadsheetml/2006/main" count="31" uniqueCount="30">
  <si>
    <t>raclette</t>
  </si>
  <si>
    <t>Chorizo halal</t>
  </si>
  <si>
    <t>Jambon sec</t>
  </si>
  <si>
    <t>Pain</t>
  </si>
  <si>
    <t>Mini feuilletes</t>
  </si>
  <si>
    <t>desserts</t>
  </si>
  <si>
    <t>Empeladas bœuf</t>
  </si>
  <si>
    <t>raclette /3kg</t>
  </si>
  <si>
    <t>Chorizo halal / 350g</t>
  </si>
  <si>
    <t>Jambon sec / 500g</t>
  </si>
  <si>
    <t>Mini feuilletes / 208p</t>
  </si>
  <si>
    <t>desserts / 48p</t>
  </si>
  <si>
    <t>Empeladas bœuf / 25p</t>
  </si>
  <si>
    <t>Mini nems poulet / 28p</t>
  </si>
  <si>
    <t>Total</t>
  </si>
  <si>
    <t>Nourriture</t>
  </si>
  <si>
    <t>6Kg</t>
  </si>
  <si>
    <t>Quantité</t>
  </si>
  <si>
    <t xml:space="preserve">Rosette </t>
  </si>
  <si>
    <t xml:space="preserve">Mini nems poulet </t>
  </si>
  <si>
    <t>156p</t>
  </si>
  <si>
    <t>Rosette / 52p</t>
  </si>
  <si>
    <t>1050g</t>
  </si>
  <si>
    <t>1500g</t>
  </si>
  <si>
    <t>10 sacs</t>
  </si>
  <si>
    <t>416p</t>
  </si>
  <si>
    <t>50p</t>
  </si>
  <si>
    <t>96p</t>
  </si>
  <si>
    <t>56p</t>
  </si>
  <si>
    <t>Patate 25Kg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</si>
</sst>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D1C6-1290-47EE-928B-2C0A178FF95E}">
  <dimension ref="A1:J17"/>
  <sheetViews>
    <sheetView tabSelected="1" workbookViewId="0">
      <selection activeCell="G16" sqref="G16"/>
    </sheetView>
  </sheetViews>
  <sheetFormatPr baseColWidth="10" defaultRowHeight="15" x14ac:dyDescent="0.25"/>
  <cols>
    <col min="1" max="1" width="17.5703125" customWidth="1"/>
    <col min="2" max="2" width="19.28515625" customWidth="1"/>
    <col min="3" max="3" width="20.5703125" customWidth="1"/>
    <col min="4" max="4" width="22" customWidth="1"/>
    <col min="5" max="5" width="17.42578125" customWidth="1"/>
    <col min="6" max="6" width="19.28515625" customWidth="1"/>
    <col min="7" max="7" width="20" customWidth="1"/>
    <col min="8" max="8" width="23.140625" customWidth="1"/>
    <col min="9" max="9" width="21.28515625" customWidth="1"/>
    <col min="10" max="10" width="16.42578125" customWidth="1"/>
  </cols>
  <sheetData>
    <row r="1" spans="1:10" x14ac:dyDescent="0.25">
      <c r="A1" s="1" t="s">
        <v>7</v>
      </c>
      <c r="B1" s="1" t="s">
        <v>21</v>
      </c>
      <c r="C1" s="1" t="s">
        <v>8</v>
      </c>
      <c r="D1" s="1" t="s">
        <v>9</v>
      </c>
      <c r="E1" s="1" t="s">
        <v>3</v>
      </c>
      <c r="F1" s="1" t="s">
        <v>10</v>
      </c>
      <c r="G1" s="1" t="s">
        <v>11</v>
      </c>
      <c r="H1" s="1" t="s">
        <v>12</v>
      </c>
      <c r="I1" s="1" t="s">
        <v>13</v>
      </c>
      <c r="J1" s="2" t="s">
        <v>29</v>
      </c>
    </row>
    <row r="2" spans="1:10" x14ac:dyDescent="0.25">
      <c r="A2" s="1">
        <f>2*10.48</f>
        <v>20.96</v>
      </c>
      <c r="B2" s="1">
        <f>3*7.73</f>
        <v>23.19</v>
      </c>
      <c r="C2" s="1">
        <f>3*10.95</f>
        <v>32.849999999999994</v>
      </c>
      <c r="D2" s="1">
        <f>3*15</f>
        <v>45</v>
      </c>
      <c r="E2" s="1">
        <f>10*1.39</f>
        <v>13.899999999999999</v>
      </c>
      <c r="F2" s="1">
        <f>2*19.03</f>
        <v>38.06</v>
      </c>
      <c r="G2" s="1">
        <f>2*24.98</f>
        <v>49.96</v>
      </c>
      <c r="H2" s="1">
        <f>2*11.4</f>
        <v>22.8</v>
      </c>
      <c r="I2" s="1">
        <f>2*6.73</f>
        <v>13.46</v>
      </c>
    </row>
    <row r="8" spans="1:10" x14ac:dyDescent="0.25">
      <c r="A8" t="s">
        <v>15</v>
      </c>
      <c r="B8" t="s">
        <v>17</v>
      </c>
    </row>
    <row r="9" spans="1:10" x14ac:dyDescent="0.25">
      <c r="A9" t="s">
        <v>0</v>
      </c>
      <c r="B9" t="s">
        <v>16</v>
      </c>
    </row>
    <row r="10" spans="1:10" x14ac:dyDescent="0.25">
      <c r="A10" t="s">
        <v>18</v>
      </c>
      <c r="B10" t="s">
        <v>20</v>
      </c>
    </row>
    <row r="11" spans="1:10" x14ac:dyDescent="0.25">
      <c r="A11" t="s">
        <v>1</v>
      </c>
      <c r="B11" t="s">
        <v>22</v>
      </c>
    </row>
    <row r="12" spans="1:10" x14ac:dyDescent="0.25">
      <c r="A12" t="s">
        <v>2</v>
      </c>
      <c r="B12" t="s">
        <v>23</v>
      </c>
    </row>
    <row r="13" spans="1:10" x14ac:dyDescent="0.25">
      <c r="A13" t="s">
        <v>3</v>
      </c>
      <c r="B13" t="s">
        <v>24</v>
      </c>
    </row>
    <row r="14" spans="1:10" x14ac:dyDescent="0.25">
      <c r="A14" t="s">
        <v>4</v>
      </c>
      <c r="B14" t="s">
        <v>25</v>
      </c>
    </row>
    <row r="15" spans="1:10" x14ac:dyDescent="0.25">
      <c r="A15" t="s">
        <v>5</v>
      </c>
      <c r="B15" t="s">
        <v>27</v>
      </c>
      <c r="G15" s="1" t="s">
        <v>14</v>
      </c>
    </row>
    <row r="16" spans="1:10" x14ac:dyDescent="0.25">
      <c r="A16" t="s">
        <v>6</v>
      </c>
      <c r="B16" t="s">
        <v>26</v>
      </c>
      <c r="G16" s="1">
        <f>A2+B2+C2+D2+E2+F2+G2+H2+I2</f>
        <v>260.18</v>
      </c>
    </row>
    <row r="17" spans="1:2" x14ac:dyDescent="0.25">
      <c r="A17" t="s">
        <v>19</v>
      </c>
      <c r="B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DACCACHE</dc:creator>
  <cp:lastModifiedBy>CHRISTOPHER DACCACHE</cp:lastModifiedBy>
  <dcterms:created xsi:type="dcterms:W3CDTF">2025-12-02T12:35:00Z</dcterms:created>
  <dcterms:modified xsi:type="dcterms:W3CDTF">2025-12-02T14:56:15Z</dcterms:modified>
</cp:coreProperties>
</file>